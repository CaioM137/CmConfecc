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13_ncr:1_{CB5A1135-E343-4A3A-A562-4246793CF21D}" xr6:coauthVersionLast="47" xr6:coauthVersionMax="47" xr10:uidLastSave="{00000000-0000-0000-0000-000000000000}"/>
  <bookViews>
    <workbookView xWindow="-110" yWindow="-110" windowWidth="19420" windowHeight="10300" activeTab="3" xr2:uid="{FB03CC34-0828-4298-ABF7-F416E0DBA843}"/>
  </bookViews>
  <sheets>
    <sheet name="RECEBIMENTO" sheetId="1" r:id="rId1"/>
    <sheet name="PCP" sheetId="2" r:id="rId2"/>
    <sheet name="PRODUÇÃO" sheetId="3" r:id="rId3"/>
    <sheet name="COMERCIAL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3" i="4"/>
  <c r="G14" i="4"/>
  <c r="G15" i="4"/>
  <c r="G4" i="4"/>
  <c r="B5" i="4"/>
  <c r="B6" i="4"/>
  <c r="B7" i="4"/>
  <c r="B8" i="4"/>
  <c r="B9" i="4"/>
  <c r="B10" i="4"/>
  <c r="B11" i="4"/>
  <c r="B12" i="4"/>
  <c r="B13" i="4"/>
  <c r="B14" i="4"/>
  <c r="B15" i="4"/>
  <c r="B4" i="4"/>
  <c r="E5" i="3"/>
  <c r="E6" i="3"/>
  <c r="E4" i="3"/>
  <c r="D5" i="3"/>
  <c r="D6" i="3"/>
  <c r="D4" i="3"/>
  <c r="C5" i="3"/>
  <c r="C6" i="3"/>
  <c r="C4" i="3"/>
  <c r="B5" i="2"/>
  <c r="B6" i="2"/>
  <c r="B7" i="2"/>
  <c r="B8" i="2"/>
  <c r="B9" i="2"/>
  <c r="B10" i="2"/>
  <c r="B11" i="2"/>
  <c r="B12" i="2"/>
  <c r="B13" i="2"/>
  <c r="B14" i="2"/>
  <c r="B15" i="2"/>
  <c r="B4" i="2"/>
  <c r="E4" i="4" s="1"/>
  <c r="B5" i="1"/>
  <c r="B4" i="1"/>
  <c r="F12" i="2" s="1"/>
  <c r="H10" i="1"/>
  <c r="H5" i="1"/>
  <c r="H6" i="1"/>
  <c r="H7" i="1"/>
  <c r="H8" i="1"/>
  <c r="H9" i="1"/>
  <c r="H11" i="1"/>
  <c r="H12" i="1"/>
  <c r="H13" i="1"/>
  <c r="H14" i="1"/>
  <c r="H15" i="1"/>
  <c r="H4" i="1"/>
  <c r="B6" i="1"/>
  <c r="F11" i="2" s="1"/>
  <c r="B7" i="1"/>
  <c r="B8" i="1"/>
  <c r="B9" i="1"/>
  <c r="B10" i="1"/>
  <c r="B11" i="1"/>
  <c r="B12" i="1"/>
  <c r="B13" i="1"/>
  <c r="B14" i="1"/>
  <c r="B15" i="1"/>
  <c r="E15" i="2" l="1"/>
  <c r="E7" i="2"/>
  <c r="E14" i="2"/>
  <c r="E6" i="2"/>
  <c r="F10" i="2"/>
  <c r="E13" i="2"/>
  <c r="E5" i="2"/>
  <c r="F9" i="2"/>
  <c r="E12" i="2"/>
  <c r="F4" i="2"/>
  <c r="F8" i="2"/>
  <c r="E11" i="2"/>
  <c r="F15" i="2"/>
  <c r="F7" i="2"/>
  <c r="E10" i="2"/>
  <c r="F14" i="2"/>
  <c r="F6" i="2"/>
  <c r="E9" i="4"/>
  <c r="E9" i="2"/>
  <c r="F13" i="2"/>
  <c r="F5" i="2"/>
  <c r="E4" i="2"/>
  <c r="E8" i="2"/>
  <c r="E10" i="4"/>
  <c r="E8" i="4"/>
  <c r="E15" i="4"/>
  <c r="E7" i="4"/>
  <c r="E14" i="4"/>
  <c r="E6" i="4"/>
  <c r="E13" i="4"/>
  <c r="E5" i="4"/>
  <c r="E12" i="4"/>
  <c r="E11" i="4"/>
</calcChain>
</file>

<file path=xl/sharedStrings.xml><?xml version="1.0" encoding="utf-8"?>
<sst xmlns="http://schemas.openxmlformats.org/spreadsheetml/2006/main" count="125" uniqueCount="74">
  <si>
    <t xml:space="preserve">ID </t>
  </si>
  <si>
    <t>DATA DE ENTREGA</t>
  </si>
  <si>
    <t>FORNECEDOR</t>
  </si>
  <si>
    <t>MATÉRIA-PRIMA</t>
  </si>
  <si>
    <t>QTD (m²)</t>
  </si>
  <si>
    <t>VALOR UND</t>
  </si>
  <si>
    <t>VALOR TOTAL</t>
  </si>
  <si>
    <t>Couro Norte</t>
  </si>
  <si>
    <t>Couro sintético</t>
  </si>
  <si>
    <t>Tecidos duRei</t>
  </si>
  <si>
    <t>Malha laminada</t>
  </si>
  <si>
    <t>Couro Sul Ltda</t>
  </si>
  <si>
    <t>Couro legítimo</t>
  </si>
  <si>
    <t>Aviamentos MG</t>
  </si>
  <si>
    <t>Cadarço</t>
  </si>
  <si>
    <t>Solados Brasil</t>
  </si>
  <si>
    <t>Sola de borracha</t>
  </si>
  <si>
    <t>Data Planejada</t>
  </si>
  <si>
    <t>ID Recebimento</t>
  </si>
  <si>
    <t>Fornecedor</t>
  </si>
  <si>
    <t>Materia-Prima</t>
  </si>
  <si>
    <t>Produto</t>
  </si>
  <si>
    <t>Setor Responsável</t>
  </si>
  <si>
    <t>Qtd (pares)</t>
  </si>
  <si>
    <t>Status</t>
  </si>
  <si>
    <t>REC-001</t>
  </si>
  <si>
    <t>Concluído</t>
  </si>
  <si>
    <t>Em andamento</t>
  </si>
  <si>
    <t>Corte</t>
  </si>
  <si>
    <t>Puma RS-X</t>
  </si>
  <si>
    <t>Puma 180</t>
  </si>
  <si>
    <t>Puma X-Ray 2</t>
  </si>
  <si>
    <t>Puma ST Runner</t>
  </si>
  <si>
    <t>Puma Suede XL</t>
  </si>
  <si>
    <t>Puma MagMax Nitro</t>
  </si>
  <si>
    <t>REC-002</t>
  </si>
  <si>
    <t>REC-003</t>
  </si>
  <si>
    <t>REC-004</t>
  </si>
  <si>
    <t>REC-005</t>
  </si>
  <si>
    <t>REC-006</t>
  </si>
  <si>
    <t>REC-007</t>
  </si>
  <si>
    <t>REC-008</t>
  </si>
  <si>
    <t>REC-009</t>
  </si>
  <si>
    <t>REC-010</t>
  </si>
  <si>
    <t>REC-011</t>
  </si>
  <si>
    <t>REC-012</t>
  </si>
  <si>
    <t>Costura</t>
  </si>
  <si>
    <t>Montagem</t>
  </si>
  <si>
    <t>Setor</t>
  </si>
  <si>
    <t xml:space="preserve"> Qtd Total (pares)</t>
  </si>
  <si>
    <t>Ordens em Andamento</t>
  </si>
  <si>
    <t>Ordens Concluídas</t>
  </si>
  <si>
    <t>ID do Pedido</t>
  </si>
  <si>
    <t>Cliente</t>
  </si>
  <si>
    <t>ID Ordem</t>
  </si>
  <si>
    <t>Prazo de Entrega</t>
  </si>
  <si>
    <t>Status de Entrega</t>
  </si>
  <si>
    <t>OP-002</t>
  </si>
  <si>
    <t>OP-001</t>
  </si>
  <si>
    <t>OP-003</t>
  </si>
  <si>
    <t>OP-004</t>
  </si>
  <si>
    <t>OP-005</t>
  </si>
  <si>
    <t>OP-006</t>
  </si>
  <si>
    <t>OP-007</t>
  </si>
  <si>
    <t>OP-008</t>
  </si>
  <si>
    <t>OP-009</t>
  </si>
  <si>
    <t>OP-010</t>
  </si>
  <si>
    <t>OP-011</t>
  </si>
  <si>
    <t>OP-012</t>
  </si>
  <si>
    <t>Azteca Calçaodos</t>
  </si>
  <si>
    <t>I9 Calçados</t>
  </si>
  <si>
    <t>Kauã Calçados</t>
  </si>
  <si>
    <t>Econis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</si>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</sst>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F800]dddd\,\ mmmm\ dd\,\ yyyy"/>
    <numFmt numFmtId="165" formatCode="0&quot; m²&quot;"/>
    <numFmt numFmtId="166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1"/>
      <color theme="9" tint="-0.499984740745262"/>
      <name val="Arial"/>
      <family val="2"/>
    </font>
    <font>
      <b/>
      <sz val="11"/>
      <color theme="7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6" fontId="2" fillId="2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4" fontId="0" fillId="0" borderId="0" xfId="0" applyNumberFormat="1"/>
    <xf numFmtId="0" fontId="3" fillId="8" borderId="0" xfId="0" applyFont="1" applyFill="1" applyAlignment="1">
      <alignment horizontal="center"/>
    </xf>
    <xf numFmtId="14" fontId="3" fillId="8" borderId="0" xfId="0" applyNumberFormat="1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4" fillId="5" borderId="1" xfId="1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14" fontId="4" fillId="4" borderId="2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4" fontId="4" fillId="9" borderId="4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A330-F022-4136-AF8D-3CF35D3C835E}">
  <dimension ref="B2:H20"/>
  <sheetViews>
    <sheetView showGridLines="0" workbookViewId="0">
      <selection activeCell="C10" sqref="C10"/>
    </sheetView>
  </sheetViews>
  <sheetFormatPr defaultRowHeight="14.5" x14ac:dyDescent="0.35"/>
  <cols>
    <col min="2" max="2" width="8.7265625" style="5"/>
    <col min="3" max="3" width="30.1796875" style="7" bestFit="1" customWidth="1"/>
    <col min="4" max="4" width="12.26953125" style="5" bestFit="1" customWidth="1"/>
    <col min="5" max="5" width="14.81640625" style="5" bestFit="1" customWidth="1"/>
    <col min="6" max="6" width="8.54296875" style="6" bestFit="1" customWidth="1"/>
    <col min="7" max="7" width="10.7265625" style="8" bestFit="1" customWidth="1"/>
    <col min="8" max="8" width="12.26953125" style="8" bestFit="1" customWidth="1"/>
  </cols>
  <sheetData>
    <row r="2" spans="2:8" ht="15" thickBot="1" x14ac:dyDescent="0.4"/>
    <row r="3" spans="2:8" ht="15.5" thickTop="1" thickBot="1" x14ac:dyDescent="0.4">
      <c r="B3" s="1" t="s">
        <v>0</v>
      </c>
      <c r="C3" s="2" t="s">
        <v>1</v>
      </c>
      <c r="D3" s="1" t="s">
        <v>2</v>
      </c>
      <c r="E3" s="1" t="s">
        <v>3</v>
      </c>
      <c r="F3" s="3" t="s">
        <v>4</v>
      </c>
      <c r="G3" s="4" t="s">
        <v>5</v>
      </c>
      <c r="H3" s="4" t="s">
        <v>6</v>
      </c>
    </row>
    <row r="4" spans="2:8" ht="15.5" thickTop="1" thickBot="1" x14ac:dyDescent="0.4">
      <c r="B4" s="12" t="str">
        <f>IF(C4&lt;&gt;"","REC-"&amp;TEXT(COUNTA($C$4:C4),"000"),"")</f>
        <v>REC-001</v>
      </c>
      <c r="C4" s="13">
        <v>46246</v>
      </c>
      <c r="D4" s="12" t="s">
        <v>7</v>
      </c>
      <c r="E4" s="12" t="s">
        <v>8</v>
      </c>
      <c r="F4" s="14">
        <v>60</v>
      </c>
      <c r="G4" s="15">
        <v>13</v>
      </c>
      <c r="H4" s="15">
        <f>PRODUCT(F4,G4)</f>
        <v>780</v>
      </c>
    </row>
    <row r="5" spans="2:8" ht="15.5" thickTop="1" thickBot="1" x14ac:dyDescent="0.4">
      <c r="B5" s="12" t="str">
        <f>IF(C5&lt;&gt;"","REC-"&amp;TEXT(COUNTA($C$4:C5),"000"),"")</f>
        <v>REC-002</v>
      </c>
      <c r="C5" s="13">
        <v>46307</v>
      </c>
      <c r="D5" s="12" t="s">
        <v>9</v>
      </c>
      <c r="E5" s="12" t="s">
        <v>10</v>
      </c>
      <c r="F5" s="14">
        <v>100</v>
      </c>
      <c r="G5" s="15">
        <v>12</v>
      </c>
      <c r="H5" s="15">
        <f t="shared" ref="H5:H15" si="0">PRODUCT(F5,G5)</f>
        <v>1200</v>
      </c>
    </row>
    <row r="6" spans="2:8" ht="15.5" thickTop="1" thickBot="1" x14ac:dyDescent="0.4">
      <c r="B6" s="12" t="str">
        <f>IF(C6&lt;&gt;"","REC-"&amp;TEXT(COUNTA($C$4:C6),"000"),"")</f>
        <v>REC-003</v>
      </c>
      <c r="C6" s="13">
        <v>45710</v>
      </c>
      <c r="D6" s="12" t="s">
        <v>11</v>
      </c>
      <c r="E6" s="12" t="s">
        <v>12</v>
      </c>
      <c r="F6" s="14">
        <v>90</v>
      </c>
      <c r="G6" s="15">
        <v>16</v>
      </c>
      <c r="H6" s="15">
        <f t="shared" si="0"/>
        <v>1440</v>
      </c>
    </row>
    <row r="7" spans="2:8" ht="15.5" thickTop="1" thickBot="1" x14ac:dyDescent="0.4">
      <c r="B7" s="12" t="str">
        <f>IF(C7&lt;&gt;"","REC-"&amp;TEXT(COUNTA($C$4:C7),"000"),"")</f>
        <v>REC-004</v>
      </c>
      <c r="C7" s="13">
        <v>45712</v>
      </c>
      <c r="D7" s="12" t="s">
        <v>13</v>
      </c>
      <c r="E7" s="12" t="s">
        <v>14</v>
      </c>
      <c r="F7" s="14">
        <v>500</v>
      </c>
      <c r="G7" s="15">
        <v>65</v>
      </c>
      <c r="H7" s="15">
        <f t="shared" si="0"/>
        <v>32500</v>
      </c>
    </row>
    <row r="8" spans="2:8" ht="15.5" thickTop="1" thickBot="1" x14ac:dyDescent="0.4">
      <c r="B8" s="12" t="str">
        <f>IF(C8&lt;&gt;"","REC-"&amp;TEXT(COUNTA($C$4:C8),"000"),"")</f>
        <v>REC-005</v>
      </c>
      <c r="C8" s="13">
        <v>45714</v>
      </c>
      <c r="D8" s="12" t="s">
        <v>15</v>
      </c>
      <c r="E8" s="12" t="s">
        <v>16</v>
      </c>
      <c r="F8" s="14">
        <v>220</v>
      </c>
      <c r="G8" s="15">
        <v>56</v>
      </c>
      <c r="H8" s="15">
        <f t="shared" si="0"/>
        <v>12320</v>
      </c>
    </row>
    <row r="9" spans="2:8" ht="15.5" thickTop="1" thickBot="1" x14ac:dyDescent="0.4">
      <c r="B9" s="12" t="str">
        <f>IF(C9&lt;&gt;"","REC-"&amp;TEXT(COUNTA($C$4:C9),"000"),"")</f>
        <v>REC-006</v>
      </c>
      <c r="C9" s="13">
        <v>45717</v>
      </c>
      <c r="D9" s="12" t="s">
        <v>11</v>
      </c>
      <c r="E9" s="12" t="s">
        <v>8</v>
      </c>
      <c r="F9" s="14">
        <v>180</v>
      </c>
      <c r="G9" s="15">
        <v>43</v>
      </c>
      <c r="H9" s="15">
        <f t="shared" si="0"/>
        <v>7740</v>
      </c>
    </row>
    <row r="10" spans="2:8" ht="15.5" thickTop="1" thickBot="1" x14ac:dyDescent="0.4">
      <c r="B10" s="12" t="str">
        <f>IF(C10&lt;&gt;"","REC-"&amp;TEXT(COUNTA($C$4:C10),"000"),"")</f>
        <v>REC-007</v>
      </c>
      <c r="C10" s="13">
        <v>46246</v>
      </c>
      <c r="D10" s="12" t="s">
        <v>7</v>
      </c>
      <c r="E10" s="12" t="s">
        <v>12</v>
      </c>
      <c r="F10" s="14">
        <v>233</v>
      </c>
      <c r="G10" s="15">
        <v>34</v>
      </c>
      <c r="H10" s="15">
        <f>PRODUCT(F10,G10)</f>
        <v>7922</v>
      </c>
    </row>
    <row r="11" spans="2:8" ht="15.5" thickTop="1" thickBot="1" x14ac:dyDescent="0.4">
      <c r="B11" s="12" t="str">
        <f>IF(C11&lt;&gt;"","REC-"&amp;TEXT(COUNTA($C$4:C11),"000"),"")</f>
        <v>REC-008</v>
      </c>
      <c r="C11" s="13">
        <v>46307</v>
      </c>
      <c r="D11" s="12" t="s">
        <v>9</v>
      </c>
      <c r="E11" s="12" t="s">
        <v>14</v>
      </c>
      <c r="F11" s="14">
        <v>200</v>
      </c>
      <c r="G11" s="15">
        <v>32</v>
      </c>
      <c r="H11" s="15">
        <f t="shared" si="0"/>
        <v>6400</v>
      </c>
    </row>
    <row r="12" spans="2:8" ht="15.5" thickTop="1" thickBot="1" x14ac:dyDescent="0.4">
      <c r="B12" s="12" t="str">
        <f>IF(C12&lt;&gt;"","REC-"&amp;TEXT(COUNTA($C$4:C12),"000"),"")</f>
        <v>REC-009</v>
      </c>
      <c r="C12" s="13">
        <v>45710</v>
      </c>
      <c r="D12" s="12" t="s">
        <v>11</v>
      </c>
      <c r="E12" s="12" t="s">
        <v>16</v>
      </c>
      <c r="F12" s="14">
        <v>345</v>
      </c>
      <c r="G12" s="15">
        <v>56</v>
      </c>
      <c r="H12" s="15">
        <f t="shared" si="0"/>
        <v>19320</v>
      </c>
    </row>
    <row r="13" spans="2:8" ht="15.5" thickTop="1" thickBot="1" x14ac:dyDescent="0.4">
      <c r="B13" s="12" t="str">
        <f>IF(C13&lt;&gt;"","REC-"&amp;TEXT(COUNTA($C$4:C13),"000"),"")</f>
        <v>REC-010</v>
      </c>
      <c r="C13" s="13">
        <v>45712</v>
      </c>
      <c r="D13" s="12" t="s">
        <v>13</v>
      </c>
      <c r="E13" s="12" t="s">
        <v>8</v>
      </c>
      <c r="F13" s="14">
        <v>334</v>
      </c>
      <c r="G13" s="15">
        <v>24</v>
      </c>
      <c r="H13" s="15">
        <f t="shared" si="0"/>
        <v>8016</v>
      </c>
    </row>
    <row r="14" spans="2:8" ht="15.5" thickTop="1" thickBot="1" x14ac:dyDescent="0.4">
      <c r="B14" s="12" t="str">
        <f>IF(C14&lt;&gt;"","REC-"&amp;TEXT(COUNTA($C$4:C14),"000"),"")</f>
        <v>REC-011</v>
      </c>
      <c r="C14" s="13">
        <v>45714</v>
      </c>
      <c r="D14" s="12" t="s">
        <v>15</v>
      </c>
      <c r="E14" s="12" t="s">
        <v>8</v>
      </c>
      <c r="F14" s="14">
        <v>76</v>
      </c>
      <c r="G14" s="15">
        <v>56</v>
      </c>
      <c r="H14" s="15">
        <f t="shared" si="0"/>
        <v>4256</v>
      </c>
    </row>
    <row r="15" spans="2:8" ht="15.5" thickTop="1" thickBot="1" x14ac:dyDescent="0.4">
      <c r="B15" s="12" t="str">
        <f>IF(C15&lt;&gt;"","REC-"&amp;TEXT(COUNTA($C$4:C15),"000"),"")</f>
        <v>REC-012</v>
      </c>
      <c r="C15" s="13">
        <v>45717</v>
      </c>
      <c r="D15" s="12" t="s">
        <v>11</v>
      </c>
      <c r="E15" s="12" t="s">
        <v>10</v>
      </c>
      <c r="F15" s="14">
        <v>432</v>
      </c>
      <c r="G15" s="15">
        <v>43</v>
      </c>
      <c r="H15" s="15">
        <f t="shared" si="0"/>
        <v>18576</v>
      </c>
    </row>
    <row r="16" spans="2:8" ht="15" thickTop="1" x14ac:dyDescent="0.35">
      <c r="B16"/>
      <c r="C16"/>
      <c r="D16"/>
      <c r="E16"/>
      <c r="F16"/>
      <c r="G16"/>
      <c r="H16"/>
    </row>
    <row r="17" customFormat="1" x14ac:dyDescent="0.35"/>
    <row r="18" customFormat="1" x14ac:dyDescent="0.35"/>
    <row r="19" customFormat="1" x14ac:dyDescent="0.35"/>
    <row r="20" customFormat="1" x14ac:dyDescent="0.3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6993-8B87-4BF6-A163-18F7B155E104}">
  <dimension ref="B2:J18"/>
  <sheetViews>
    <sheetView showGridLines="0" workbookViewId="0">
      <selection activeCell="C13" sqref="C13"/>
    </sheetView>
  </sheetViews>
  <sheetFormatPr defaultRowHeight="14.5" x14ac:dyDescent="0.35"/>
  <cols>
    <col min="1" max="1" width="8.90625" customWidth="1"/>
    <col min="2" max="2" width="8.90625" bestFit="1" customWidth="1"/>
    <col min="3" max="3" width="13.36328125" bestFit="1" customWidth="1"/>
    <col min="4" max="4" width="14.08984375" bestFit="1" customWidth="1"/>
    <col min="5" max="5" width="12.36328125" style="5" customWidth="1"/>
    <col min="6" max="6" width="17.1796875" customWidth="1"/>
    <col min="7" max="7" width="18.6328125" bestFit="1" customWidth="1"/>
    <col min="8" max="8" width="12.90625" customWidth="1"/>
    <col min="9" max="10" width="16.08984375" bestFit="1" customWidth="1"/>
    <col min="11" max="11" width="10.26953125" bestFit="1" customWidth="1"/>
  </cols>
  <sheetData>
    <row r="2" spans="2:10" ht="15" thickBot="1" x14ac:dyDescent="0.4"/>
    <row r="3" spans="2:10" s="5" customFormat="1" ht="15" thickBot="1" x14ac:dyDescent="0.4">
      <c r="B3" s="16" t="s">
        <v>0</v>
      </c>
      <c r="C3" s="16" t="s">
        <v>17</v>
      </c>
      <c r="D3" s="16" t="s">
        <v>18</v>
      </c>
      <c r="E3" s="16" t="s">
        <v>19</v>
      </c>
      <c r="F3" s="16" t="s">
        <v>20</v>
      </c>
      <c r="G3" s="16" t="s">
        <v>21</v>
      </c>
      <c r="H3" s="16" t="s">
        <v>23</v>
      </c>
      <c r="I3" s="16" t="s">
        <v>22</v>
      </c>
      <c r="J3" s="16" t="s">
        <v>24</v>
      </c>
    </row>
    <row r="4" spans="2:10" ht="15" thickBot="1" x14ac:dyDescent="0.4">
      <c r="B4" s="17" t="str">
        <f>+IF(C4&lt;&gt;"","OP-"&amp;TEXT(COUNTA($C$4:C4),"000"),"")</f>
        <v>OP-001</v>
      </c>
      <c r="C4" s="18">
        <v>46278</v>
      </c>
      <c r="D4" s="17" t="s">
        <v>25</v>
      </c>
      <c r="E4" s="17" t="str">
        <f>IF(D4="","",IFERROR(VLOOKUP($D4,RECEBIMENTO!$B:$E,3,FALSE),"ID não encontrado"))</f>
        <v>Couro Norte</v>
      </c>
      <c r="F4" s="17" t="str">
        <f>IF(D4="","",IFERROR(VLOOKUP($D4,RECEBIMENTO!$B:$E,4,FALSE),"ID não encontrado"))</f>
        <v>Couro sintético</v>
      </c>
      <c r="G4" s="17" t="s">
        <v>29</v>
      </c>
      <c r="H4" s="17">
        <v>543</v>
      </c>
      <c r="I4" s="17" t="s">
        <v>28</v>
      </c>
      <c r="J4" s="17" t="s">
        <v>27</v>
      </c>
    </row>
    <row r="5" spans="2:10" ht="15" thickBot="1" x14ac:dyDescent="0.4">
      <c r="B5" s="17" t="str">
        <f>+IF(C5&lt;&gt;"","OP-"&amp;TEXT(COUNTA($C$4:C5),"000"),"")</f>
        <v>OP-002</v>
      </c>
      <c r="C5" s="18">
        <v>46279</v>
      </c>
      <c r="D5" s="17" t="s">
        <v>35</v>
      </c>
      <c r="E5" s="17" t="str">
        <f>IF(D5="","",IFERROR(VLOOKUP($D5,RECEBIMENTO!$B:$E,3,FALSE),"ID não encontrado"))</f>
        <v>Tecidos duRei</v>
      </c>
      <c r="F5" s="17" t="str">
        <f>IF(D5="","",IFERROR(VLOOKUP($D5,RECEBIMENTO!$B:$E,4,FALSE),"ID não encontrado"))</f>
        <v>Malha laminada</v>
      </c>
      <c r="G5" s="17" t="s">
        <v>30</v>
      </c>
      <c r="H5" s="17">
        <v>654</v>
      </c>
      <c r="I5" s="17" t="s">
        <v>28</v>
      </c>
      <c r="J5" s="17" t="s">
        <v>26</v>
      </c>
    </row>
    <row r="6" spans="2:10" ht="15" thickBot="1" x14ac:dyDescent="0.4">
      <c r="B6" s="17" t="str">
        <f>+IF(C6&lt;&gt;"","OP-"&amp;TEXT(COUNTA($C$4:C6),"000"),"")</f>
        <v>OP-003</v>
      </c>
      <c r="C6" s="18">
        <v>46280</v>
      </c>
      <c r="D6" s="17" t="s">
        <v>36</v>
      </c>
      <c r="E6" s="17" t="str">
        <f>IF(D6="","",IFERROR(VLOOKUP($D6,RECEBIMENTO!$B:$E,3,FALSE),"ID não encontrado"))</f>
        <v>Couro Sul Ltda</v>
      </c>
      <c r="F6" s="17" t="str">
        <f>IF(D6="","",IFERROR(VLOOKUP($D6,RECEBIMENTO!$B:$E,4,FALSE),"ID não encontrado"))</f>
        <v>Couro legítimo</v>
      </c>
      <c r="G6" s="17" t="s">
        <v>31</v>
      </c>
      <c r="H6" s="17">
        <v>433</v>
      </c>
      <c r="I6" s="17" t="s">
        <v>28</v>
      </c>
      <c r="J6" s="17" t="s">
        <v>26</v>
      </c>
    </row>
    <row r="7" spans="2:10" ht="15" thickBot="1" x14ac:dyDescent="0.4">
      <c r="B7" s="17" t="str">
        <f>+IF(C7&lt;&gt;"","OP-"&amp;TEXT(COUNTA($C$4:C7),"000"),"")</f>
        <v>OP-004</v>
      </c>
      <c r="C7" s="18">
        <v>46281</v>
      </c>
      <c r="D7" s="17" t="s">
        <v>37</v>
      </c>
      <c r="E7" s="17" t="str">
        <f>IF(D7="","",IFERROR(VLOOKUP($D7,RECEBIMENTO!$B:$E,3,FALSE),"ID não encontrado"))</f>
        <v>Aviamentos MG</v>
      </c>
      <c r="F7" s="17" t="str">
        <f>IF(D7="","",IFERROR(VLOOKUP($D7,RECEBIMENTO!$B:$E,4,FALSE),"ID não encontrado"))</f>
        <v>Cadarço</v>
      </c>
      <c r="G7" s="17" t="s">
        <v>32</v>
      </c>
      <c r="H7" s="17">
        <v>534</v>
      </c>
      <c r="I7" s="17" t="s">
        <v>46</v>
      </c>
      <c r="J7" s="17" t="s">
        <v>26</v>
      </c>
    </row>
    <row r="8" spans="2:10" ht="15" thickBot="1" x14ac:dyDescent="0.4">
      <c r="B8" s="17" t="str">
        <f>+IF(C8&lt;&gt;"","OP-"&amp;TEXT(COUNTA($C$4:C8),"000"),"")</f>
        <v>OP-005</v>
      </c>
      <c r="C8" s="18">
        <v>46282</v>
      </c>
      <c r="D8" s="17" t="s">
        <v>38</v>
      </c>
      <c r="E8" s="17" t="str">
        <f>IF(D8="","",IFERROR(VLOOKUP($D8,RECEBIMENTO!$B:$E,3,FALSE),"ID não encontrado"))</f>
        <v>Solados Brasil</v>
      </c>
      <c r="F8" s="17" t="str">
        <f>IF(D8="","",IFERROR(VLOOKUP($D8,RECEBIMENTO!$B:$E,4,FALSE),"ID não encontrado"))</f>
        <v>Sola de borracha</v>
      </c>
      <c r="G8" s="17" t="s">
        <v>33</v>
      </c>
      <c r="H8" s="17">
        <v>756</v>
      </c>
      <c r="I8" s="17" t="s">
        <v>46</v>
      </c>
      <c r="J8" s="17" t="s">
        <v>27</v>
      </c>
    </row>
    <row r="9" spans="2:10" ht="15" thickBot="1" x14ac:dyDescent="0.4">
      <c r="B9" s="17" t="str">
        <f>+IF(C9&lt;&gt;"","OP-"&amp;TEXT(COUNTA($C$4:C9),"000"),"")</f>
        <v>OP-006</v>
      </c>
      <c r="C9" s="18">
        <v>46283</v>
      </c>
      <c r="D9" s="17" t="s">
        <v>39</v>
      </c>
      <c r="E9" s="17" t="str">
        <f>IF(D9="","",IFERROR(VLOOKUP($D9,RECEBIMENTO!$B:$E,3,FALSE),"ID não encontrado"))</f>
        <v>Couro Sul Ltda</v>
      </c>
      <c r="F9" s="17" t="str">
        <f>IF(D9="","",IFERROR(VLOOKUP($D9,RECEBIMENTO!$B:$E,4,FALSE),"ID não encontrado"))</f>
        <v>Couro sintético</v>
      </c>
      <c r="G9" s="17" t="s">
        <v>34</v>
      </c>
      <c r="H9" s="17">
        <v>435</v>
      </c>
      <c r="I9" s="17" t="s">
        <v>28</v>
      </c>
      <c r="J9" s="17" t="s">
        <v>26</v>
      </c>
    </row>
    <row r="10" spans="2:10" ht="15" thickBot="1" x14ac:dyDescent="0.4">
      <c r="B10" s="17" t="str">
        <f>+IF(C10&lt;&gt;"","OP-"&amp;TEXT(COUNTA($C$4:C10),"000"),"")</f>
        <v>OP-007</v>
      </c>
      <c r="C10" s="18">
        <v>46284</v>
      </c>
      <c r="D10" s="17" t="s">
        <v>40</v>
      </c>
      <c r="E10" s="17" t="str">
        <f>IF(D10="","",IFERROR(VLOOKUP($D10,RECEBIMENTO!$B:$E,3,FALSE),"ID não encontrado"))</f>
        <v>Couro Norte</v>
      </c>
      <c r="F10" s="17" t="str">
        <f>IF(D10="","",IFERROR(VLOOKUP($D10,RECEBIMENTO!$B:$E,4,FALSE),"ID não encontrado"))</f>
        <v>Couro legítimo</v>
      </c>
      <c r="G10" s="17" t="s">
        <v>29</v>
      </c>
      <c r="H10" s="17">
        <v>675</v>
      </c>
      <c r="I10" s="17" t="s">
        <v>47</v>
      </c>
      <c r="J10" s="17" t="s">
        <v>27</v>
      </c>
    </row>
    <row r="11" spans="2:10" ht="15" thickBot="1" x14ac:dyDescent="0.4">
      <c r="B11" s="17" t="str">
        <f>+IF(C11&lt;&gt;"","OP-"&amp;TEXT(COUNTA($C$4:C11),"000"),"")</f>
        <v>OP-008</v>
      </c>
      <c r="C11" s="18">
        <v>46285</v>
      </c>
      <c r="D11" s="17" t="s">
        <v>41</v>
      </c>
      <c r="E11" s="17" t="str">
        <f>IF(D11="","",IFERROR(VLOOKUP($D11,RECEBIMENTO!$B:$E,3,FALSE),"ID não encontrado"))</f>
        <v>Tecidos duRei</v>
      </c>
      <c r="F11" s="17" t="str">
        <f>IF(D11="","",IFERROR(VLOOKUP($D11,RECEBIMENTO!$B:$E,4,FALSE),"ID não encontrado"))</f>
        <v>Cadarço</v>
      </c>
      <c r="G11" s="17" t="s">
        <v>30</v>
      </c>
      <c r="H11" s="17">
        <v>654</v>
      </c>
      <c r="I11" s="17" t="s">
        <v>46</v>
      </c>
      <c r="J11" s="17" t="s">
        <v>26</v>
      </c>
    </row>
    <row r="12" spans="2:10" ht="15" thickBot="1" x14ac:dyDescent="0.4">
      <c r="B12" s="17" t="str">
        <f>+IF(C12&lt;&gt;"","OP-"&amp;TEXT(COUNTA($C$4:C12),"000"),"")</f>
        <v>OP-009</v>
      </c>
      <c r="C12" s="18">
        <v>46286</v>
      </c>
      <c r="D12" s="17" t="s">
        <v>42</v>
      </c>
      <c r="E12" s="17" t="str">
        <f>IF(D12="","",IFERROR(VLOOKUP($D12,RECEBIMENTO!$B:$E,3,FALSE),"ID não encontrado"))</f>
        <v>Couro Sul Ltda</v>
      </c>
      <c r="F12" s="17" t="str">
        <f>IF(D12="","",IFERROR(VLOOKUP($D12,RECEBIMENTO!$B:$E,4,FALSE),"ID não encontrado"))</f>
        <v>Sola de borracha</v>
      </c>
      <c r="G12" s="17" t="s">
        <v>31</v>
      </c>
      <c r="H12" s="17">
        <v>433</v>
      </c>
      <c r="I12" s="17" t="s">
        <v>47</v>
      </c>
      <c r="J12" s="17" t="s">
        <v>27</v>
      </c>
    </row>
    <row r="13" spans="2:10" ht="15" thickBot="1" x14ac:dyDescent="0.4">
      <c r="B13" s="17" t="str">
        <f>+IF(C13&lt;&gt;"","OP-"&amp;TEXT(COUNTA($C$4:C13),"000"),"")</f>
        <v>OP-010</v>
      </c>
      <c r="C13" s="18">
        <v>46287</v>
      </c>
      <c r="D13" s="17" t="s">
        <v>43</v>
      </c>
      <c r="E13" s="17" t="str">
        <f>IF(D13="","",IFERROR(VLOOKUP($D13,RECEBIMENTO!$B:$E,3,FALSE),"ID não encontrado"))</f>
        <v>Aviamentos MG</v>
      </c>
      <c r="F13" s="17" t="str">
        <f>IF(D13="","",IFERROR(VLOOKUP($D13,RECEBIMENTO!$B:$E,4,FALSE),"ID não encontrado"))</f>
        <v>Couro sintético</v>
      </c>
      <c r="G13" s="17" t="s">
        <v>29</v>
      </c>
      <c r="H13" s="17">
        <v>644</v>
      </c>
      <c r="I13" s="17" t="s">
        <v>46</v>
      </c>
      <c r="J13" s="17" t="s">
        <v>27</v>
      </c>
    </row>
    <row r="14" spans="2:10" ht="15" thickBot="1" x14ac:dyDescent="0.4">
      <c r="B14" s="17" t="str">
        <f>+IF(C14&lt;&gt;"","OP-"&amp;TEXT(COUNTA($C$4:C14),"000"),"")</f>
        <v>OP-011</v>
      </c>
      <c r="C14" s="18">
        <v>46288</v>
      </c>
      <c r="D14" s="17" t="s">
        <v>44</v>
      </c>
      <c r="E14" s="17" t="str">
        <f>IF(D14="","",IFERROR(VLOOKUP($D14,RECEBIMENTO!$B:$E,3,FALSE),"ID não encontrado"))</f>
        <v>Solados Brasil</v>
      </c>
      <c r="F14" s="17" t="str">
        <f>IF(D14="","",IFERROR(VLOOKUP($D14,RECEBIMENTO!$B:$E,4,FALSE),"ID não encontrado"))</f>
        <v>Couro sintético</v>
      </c>
      <c r="G14" s="17" t="s">
        <v>30</v>
      </c>
      <c r="H14" s="17">
        <v>765</v>
      </c>
      <c r="I14" s="17" t="s">
        <v>47</v>
      </c>
      <c r="J14" s="17" t="s">
        <v>26</v>
      </c>
    </row>
    <row r="15" spans="2:10" ht="15" thickBot="1" x14ac:dyDescent="0.4">
      <c r="B15" s="17" t="str">
        <f>+IF(C15&lt;&gt;"","OP-"&amp;TEXT(COUNTA($C$4:C15),"000"),"")</f>
        <v>OP-012</v>
      </c>
      <c r="C15" s="18">
        <v>46289</v>
      </c>
      <c r="D15" s="17" t="s">
        <v>45</v>
      </c>
      <c r="E15" s="17" t="str">
        <f>IF(D15="","",IFERROR(VLOOKUP($D15,RECEBIMENTO!$B:$E,3,FALSE),"ID não encontrado"))</f>
        <v>Couro Sul Ltda</v>
      </c>
      <c r="F15" s="17" t="str">
        <f>IF(D15="","",IFERROR(VLOOKUP($D15,RECEBIMENTO!$B:$E,4,FALSE),"ID não encontrado"))</f>
        <v>Malha laminada</v>
      </c>
      <c r="G15" s="17" t="s">
        <v>31</v>
      </c>
      <c r="H15" s="17">
        <v>545</v>
      </c>
      <c r="I15" s="17" t="s">
        <v>46</v>
      </c>
      <c r="J15" s="17" t="s">
        <v>26</v>
      </c>
    </row>
    <row r="16" spans="2:10" x14ac:dyDescent="0.35">
      <c r="E16"/>
    </row>
    <row r="17" spans="5:5" x14ac:dyDescent="0.35">
      <c r="E17"/>
    </row>
    <row r="18" spans="5:5" x14ac:dyDescent="0.35">
      <c r="E18"/>
    </row>
  </sheetData>
  <dataValidations count="2">
    <dataValidation type="list" allowBlank="1" showInputMessage="1" showErrorMessage="1" sqref="J1:J2 J4:J1048576" xr:uid="{F458FBFA-CEA0-4C93-8286-405F7DDFBA96}">
      <formula1>"A iniciar,Em andamento,Concluído"</formula1>
    </dataValidation>
    <dataValidation type="list" allowBlank="1" showInputMessage="1" showErrorMessage="1" sqref="I1:I2 I4:I1048576" xr:uid="{FEDFB298-0C43-4957-B854-284E5623938B}">
      <formula1>"Corte, Costura,Montagem"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8B30-66D3-40B6-A76D-CE0E51A23DD9}">
  <dimension ref="B3:E6"/>
  <sheetViews>
    <sheetView showGridLines="0" topLeftCell="A2" workbookViewId="0">
      <selection activeCell="C8" sqref="C8"/>
    </sheetView>
  </sheetViews>
  <sheetFormatPr defaultRowHeight="14.5" x14ac:dyDescent="0.35"/>
  <cols>
    <col min="2" max="2" width="9" customWidth="1"/>
    <col min="3" max="3" width="15.453125" bestFit="1" customWidth="1"/>
    <col min="4" max="4" width="20.453125" bestFit="1" customWidth="1"/>
    <col min="5" max="5" width="16.453125" bestFit="1" customWidth="1"/>
  </cols>
  <sheetData>
    <row r="3" spans="2:5" x14ac:dyDescent="0.35">
      <c r="B3" s="19" t="s">
        <v>48</v>
      </c>
      <c r="C3" s="19" t="s">
        <v>49</v>
      </c>
      <c r="D3" s="19" t="s">
        <v>50</v>
      </c>
      <c r="E3" s="19" t="s">
        <v>51</v>
      </c>
    </row>
    <row r="4" spans="2:5" x14ac:dyDescent="0.35">
      <c r="B4" s="20" t="s">
        <v>28</v>
      </c>
      <c r="C4" s="21">
        <f>SUMIF(PCP!$I:$I,B4,PCP!$H:$H)</f>
        <v>2065</v>
      </c>
      <c r="D4" s="21">
        <f>COUNTIFS(PCP!$I:$I,B4,PCP!$J:$J,"Em andamento")</f>
        <v>1</v>
      </c>
      <c r="E4" s="21">
        <f>COUNTIFS(PCP!$I:$I,B4,PCP!$J:$J,"Concluído")</f>
        <v>3</v>
      </c>
    </row>
    <row r="5" spans="2:5" x14ac:dyDescent="0.35">
      <c r="B5" s="20" t="s">
        <v>46</v>
      </c>
      <c r="C5" s="21">
        <f>SUMIF(PCP!$I:$I,B5,PCP!$H:$H)</f>
        <v>3133</v>
      </c>
      <c r="D5" s="21">
        <f>COUNTIFS(PCP!$I:$I,B5,PCP!$J:$J,"Em andamento")</f>
        <v>2</v>
      </c>
      <c r="E5" s="21">
        <f>COUNTIFS(PCP!$I:$I,B5,PCP!$J:$J,"Concluído")</f>
        <v>3</v>
      </c>
    </row>
    <row r="6" spans="2:5" x14ac:dyDescent="0.35">
      <c r="B6" s="20" t="s">
        <v>47</v>
      </c>
      <c r="C6" s="21">
        <f>SUMIF(PCP!$I:$I,B6,PCP!$H:$H)</f>
        <v>1873</v>
      </c>
      <c r="D6" s="21">
        <f>COUNTIFS(PCP!$I:$I,B6,PCP!$J:$J,"Em andamento")</f>
        <v>2</v>
      </c>
      <c r="E6" s="21">
        <f>COUNTIFS(PCP!$I:$I,B6,PCP!$J:$J,"Concluído")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82A3-E03B-4EF8-ADE7-186FD5F8A3AB}">
  <dimension ref="B3:G15"/>
  <sheetViews>
    <sheetView showGridLines="0" tabSelected="1" workbookViewId="0">
      <selection activeCell="J7" sqref="J7"/>
    </sheetView>
  </sheetViews>
  <sheetFormatPr defaultRowHeight="14.5" x14ac:dyDescent="0.35"/>
  <cols>
    <col min="2" max="2" width="11.453125" bestFit="1" customWidth="1"/>
    <col min="3" max="3" width="15.26953125" bestFit="1" customWidth="1"/>
    <col min="4" max="4" width="8.90625" bestFit="1" customWidth="1"/>
    <col min="5" max="5" width="17" bestFit="1" customWidth="1"/>
    <col min="6" max="6" width="14.90625" style="9" bestFit="1" customWidth="1"/>
    <col min="7" max="7" width="15.36328125" bestFit="1" customWidth="1"/>
  </cols>
  <sheetData>
    <row r="3" spans="2:7" ht="15" thickBot="1" x14ac:dyDescent="0.4">
      <c r="B3" s="10" t="s">
        <v>52</v>
      </c>
      <c r="C3" s="10" t="s">
        <v>53</v>
      </c>
      <c r="D3" s="10" t="s">
        <v>54</v>
      </c>
      <c r="E3" s="10" t="s">
        <v>21</v>
      </c>
      <c r="F3" s="11" t="s">
        <v>55</v>
      </c>
      <c r="G3" s="10" t="s">
        <v>56</v>
      </c>
    </row>
    <row r="4" spans="2:7" ht="15" thickBot="1" x14ac:dyDescent="0.4">
      <c r="B4" s="22" t="str">
        <f>IF( C4&lt;&gt;"", "PED-"&amp;TEXT(COUNTA($C$4:C4),"000"), "" )</f>
        <v>PED-001</v>
      </c>
      <c r="C4" s="22" t="s">
        <v>69</v>
      </c>
      <c r="D4" s="22" t="s">
        <v>58</v>
      </c>
      <c r="E4" s="23" t="str">
        <f>IF(D4="","",IFERROR(VLOOKUP($D4,PCP!$B:$G,6,FALSE),"OP não encontrada"))</f>
        <v>Puma RS-X</v>
      </c>
      <c r="F4" s="24">
        <v>46318</v>
      </c>
      <c r="G4" s="22" t="str">
        <f ca="1">IF(E4="","",IF(TODAY()&gt;F4,"Atrasado","No prazo"))</f>
        <v>No prazo</v>
      </c>
    </row>
    <row r="5" spans="2:7" ht="15" thickBot="1" x14ac:dyDescent="0.4">
      <c r="B5" s="22" t="str">
        <f>IF( C5&lt;&gt;"", "PED-"&amp;TEXT(COUNTA($C$4:C5),"000"), "" )</f>
        <v>PED-002</v>
      </c>
      <c r="C5" s="22" t="s">
        <v>69</v>
      </c>
      <c r="D5" s="22" t="s">
        <v>57</v>
      </c>
      <c r="E5" s="23" t="str">
        <f>IF(D5="","",IFERROR(VLOOKUP($D5,PCP!$B:$G,6,FALSE),"OP não encontrada"))</f>
        <v>Puma 180</v>
      </c>
      <c r="F5" s="24">
        <v>46319</v>
      </c>
      <c r="G5" s="22" t="str">
        <f t="shared" ref="G5:G15" ca="1" si="0">IF(E5="","",IF(TODAY()&gt;F5,"Atrasado","No prazo"))</f>
        <v>No prazo</v>
      </c>
    </row>
    <row r="6" spans="2:7" ht="15" thickBot="1" x14ac:dyDescent="0.4">
      <c r="B6" s="22" t="str">
        <f>IF( C6&lt;&gt;"", "PED-"&amp;TEXT(COUNTA($C$4:C6),"000"), "" )</f>
        <v>PED-003</v>
      </c>
      <c r="C6" s="22" t="s">
        <v>70</v>
      </c>
      <c r="D6" s="22" t="s">
        <v>59</v>
      </c>
      <c r="E6" s="23" t="str">
        <f>IF(D6="","",IFERROR(VLOOKUP($D6,PCP!$B:$G,6,FALSE),"OP não encontrada"))</f>
        <v>Puma X-Ray 2</v>
      </c>
      <c r="F6" s="24">
        <v>46198</v>
      </c>
      <c r="G6" s="22" t="str">
        <f t="shared" ca="1" si="0"/>
        <v>Atrasado</v>
      </c>
    </row>
    <row r="7" spans="2:7" ht="15" thickBot="1" x14ac:dyDescent="0.4">
      <c r="B7" s="22" t="str">
        <f>IF( C7&lt;&gt;"", "PED-"&amp;TEXT(COUNTA($C$4:C7),"000"), "" )</f>
        <v>PED-004</v>
      </c>
      <c r="C7" s="22" t="s">
        <v>70</v>
      </c>
      <c r="D7" s="22" t="s">
        <v>60</v>
      </c>
      <c r="E7" s="23" t="str">
        <f>IF(D7="","",IFERROR(VLOOKUP($D7,PCP!$B:$G,6,FALSE),"OP não encontrada"))</f>
        <v>Puma ST Runner</v>
      </c>
      <c r="F7" s="24">
        <v>46260</v>
      </c>
      <c r="G7" s="22" t="str">
        <f t="shared" ca="1" si="0"/>
        <v>No prazo</v>
      </c>
    </row>
    <row r="8" spans="2:7" ht="15" thickBot="1" x14ac:dyDescent="0.4">
      <c r="B8" s="22" t="str">
        <f>IF( C8&lt;&gt;"", "PED-"&amp;TEXT(COUNTA($C$4:C8),"000"), "" )</f>
        <v>PED-005</v>
      </c>
      <c r="C8" s="22" t="s">
        <v>70</v>
      </c>
      <c r="D8" s="22" t="s">
        <v>61</v>
      </c>
      <c r="E8" s="23" t="str">
        <f>IF(D8="","",IFERROR(VLOOKUP($D8,PCP!$B:$G,6,FALSE),"OP não encontrada"))</f>
        <v>Puma Suede XL</v>
      </c>
      <c r="F8" s="24">
        <v>46169</v>
      </c>
      <c r="G8" s="22" t="str">
        <f t="shared" ca="1" si="0"/>
        <v>Atrasado</v>
      </c>
    </row>
    <row r="9" spans="2:7" ht="15" thickBot="1" x14ac:dyDescent="0.4">
      <c r="B9" s="22" t="str">
        <f>IF( C9&lt;&gt;"", "PED-"&amp;TEXT(COUNTA($C$4:C9),"000"), "" )</f>
        <v>PED-006</v>
      </c>
      <c r="C9" s="22" t="s">
        <v>71</v>
      </c>
      <c r="D9" s="22" t="s">
        <v>62</v>
      </c>
      <c r="E9" s="23" t="str">
        <f>IF(D9="","",IFERROR(VLOOKUP($D9,PCP!$B:$G,6,FALSE),"OP não encontrada"))</f>
        <v>Puma MagMax Nitro</v>
      </c>
      <c r="F9" s="24">
        <v>46323</v>
      </c>
      <c r="G9" s="22" t="str">
        <f t="shared" ca="1" si="0"/>
        <v>No prazo</v>
      </c>
    </row>
    <row r="10" spans="2:7" ht="15" thickBot="1" x14ac:dyDescent="0.4">
      <c r="B10" s="22" t="str">
        <f>IF( C10&lt;&gt;"", "PED-"&amp;TEXT(COUNTA($C$4:C10),"000"), "" )</f>
        <v>PED-007</v>
      </c>
      <c r="C10" s="22" t="s">
        <v>71</v>
      </c>
      <c r="D10" s="22" t="s">
        <v>63</v>
      </c>
      <c r="E10" s="23" t="str">
        <f>IF(D10="","",IFERROR(VLOOKUP($D10,PCP!$B:$G,6,FALSE),"OP não encontrada"))</f>
        <v>Puma RS-X</v>
      </c>
      <c r="F10" s="24">
        <v>46232</v>
      </c>
      <c r="G10" s="22" t="str">
        <f t="shared" ca="1" si="0"/>
        <v>No prazo</v>
      </c>
    </row>
    <row r="11" spans="2:7" ht="15" thickBot="1" x14ac:dyDescent="0.4">
      <c r="B11" s="22" t="str">
        <f>IF( C11&lt;&gt;"", "PED-"&amp;TEXT(COUNTA($C$4:C11),"000"), "" )</f>
        <v>PED-008</v>
      </c>
      <c r="C11" s="22" t="s">
        <v>71</v>
      </c>
      <c r="D11" s="22" t="s">
        <v>64</v>
      </c>
      <c r="E11" s="23" t="str">
        <f>IF(D11="","",IFERROR(VLOOKUP($D11,PCP!$B:$G,6,FALSE),"OP não encontrada"))</f>
        <v>Puma 180</v>
      </c>
      <c r="F11" s="24">
        <v>46325</v>
      </c>
      <c r="G11" s="22" t="str">
        <f t="shared" ca="1" si="0"/>
        <v>No prazo</v>
      </c>
    </row>
    <row r="12" spans="2:7" ht="15" thickBot="1" x14ac:dyDescent="0.4">
      <c r="B12" s="22" t="str">
        <f>IF( C12&lt;&gt;"", "PED-"&amp;TEXT(COUNTA($C$4:C12),"000"), "" )</f>
        <v>PED-009</v>
      </c>
      <c r="C12" s="22" t="s">
        <v>72</v>
      </c>
      <c r="D12" s="22" t="s">
        <v>65</v>
      </c>
      <c r="E12" s="23" t="str">
        <f>IF(D12="","",IFERROR(VLOOKUP($D12,PCP!$B:$G,6,FALSE),"OP não encontrada"))</f>
        <v>Puma X-Ray 2</v>
      </c>
      <c r="F12" s="24">
        <v>46203</v>
      </c>
      <c r="G12" s="22" t="str">
        <f t="shared" ca="1" si="0"/>
        <v>Atrasado</v>
      </c>
    </row>
    <row r="13" spans="2:7" ht="15" thickBot="1" x14ac:dyDescent="0.4">
      <c r="B13" s="22" t="str">
        <f>IF( C13&lt;&gt;"", "PED-"&amp;TEXT(COUNTA($C$4:C13),"000"), "" )</f>
        <v>PED-010</v>
      </c>
      <c r="C13" s="22" t="s">
        <v>72</v>
      </c>
      <c r="D13" s="22" t="s">
        <v>66</v>
      </c>
      <c r="E13" s="23" t="str">
        <f>IF(D13="","",IFERROR(VLOOKUP($D13,PCP!$B:$G,6,FALSE),"OP não encontrada"))</f>
        <v>Puma RS-X</v>
      </c>
      <c r="F13" s="24">
        <v>46327</v>
      </c>
      <c r="G13" s="22" t="str">
        <f t="shared" ca="1" si="0"/>
        <v>No prazo</v>
      </c>
    </row>
    <row r="14" spans="2:7" ht="15" thickBot="1" x14ac:dyDescent="0.4">
      <c r="B14" s="22" t="str">
        <f>IF( C14&lt;&gt;"", "PED-"&amp;TEXT(COUNTA($C$4:C14),"000"), "" )</f>
        <v>PED-011</v>
      </c>
      <c r="C14" s="22" t="s">
        <v>72</v>
      </c>
      <c r="D14" s="22" t="s">
        <v>67</v>
      </c>
      <c r="E14" s="23" t="str">
        <f>IF(D14="","",IFERROR(VLOOKUP($D14,PCP!$B:$G,6,FALSE),"OP não encontrada"))</f>
        <v>Puma 180</v>
      </c>
      <c r="F14" s="24">
        <v>46205</v>
      </c>
      <c r="G14" s="22" t="str">
        <f t="shared" ca="1" si="0"/>
        <v>Atrasado</v>
      </c>
    </row>
    <row r="15" spans="2:7" ht="15" thickBot="1" x14ac:dyDescent="0.4">
      <c r="B15" s="22" t="str">
        <f>IF( C15&lt;&gt;"", "PED-"&amp;TEXT(COUNTA($C$4:C15),"000"), "" )</f>
        <v>PED-012</v>
      </c>
      <c r="C15" s="22" t="s">
        <v>73</v>
      </c>
      <c r="D15" s="22" t="s">
        <v>68</v>
      </c>
      <c r="E15" s="23" t="str">
        <f>IF(D15="","",IFERROR(VLOOKUP($D15,PCP!$B:$G,6,FALSE),"OP não encontrada"))</f>
        <v>Puma X-Ray 2</v>
      </c>
      <c r="F15" s="24">
        <v>46206</v>
      </c>
      <c r="G15" s="22" t="str">
        <f t="shared" ca="1" si="0"/>
        <v>Atrasado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RECEBIMENTO</vt:lpstr>
      <vt:lpstr>PCP</vt:lpstr>
      <vt:lpstr>PRODUÇÃO</vt:lpstr>
      <vt:lpstr>COMERCIAL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Bieni Alves</dc:creator>
  <cp:lastModifiedBy>Bieni Alves</cp:lastModifiedBy>
  <dcterms:created xsi:type="dcterms:W3CDTF">2026-07-24T00:33:48Z</dcterms:created>
  <dcterms:modified xsi:type="dcterms:W3CDTF">2026-07-25T02:12:57Z</dcterms:modified>
</cp:coreProperties>
</file>